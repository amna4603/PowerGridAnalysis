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53262_dtu_dk/Documents/Documents/00_TRAVAIL/DTU/COURSES/46705_Power_Grid_Analysis/PGA_assignment_1/"/>
    </mc:Choice>
  </mc:AlternateContent>
  <xr:revisionPtr revIDLastSave="3" documentId="108_{8B7BFC02-C874-4F3D-BCCF-A3DD201EEACC}" xr6:coauthVersionLast="47" xr6:coauthVersionMax="47" xr10:uidLastSave="{402C0AF1-22E3-4DDF-96A8-296115066E19}"/>
  <bookViews>
    <workbookView xWindow="-120" yWindow="-120" windowWidth="20730" windowHeight="11760" xr2:uid="{C24A2377-180A-4C78-8908-403D56B61C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C3" i="1"/>
  <c r="Q8" i="1"/>
  <c r="Q9" i="1"/>
  <c r="Q10" i="1"/>
  <c r="Q11" i="1"/>
  <c r="Q7" i="1"/>
  <c r="O7" i="1"/>
  <c r="P8" i="1"/>
  <c r="P9" i="1"/>
  <c r="P10" i="1"/>
  <c r="P11" i="1"/>
  <c r="P7" i="1"/>
  <c r="O8" i="1"/>
  <c r="O9" i="1"/>
  <c r="O10" i="1"/>
  <c r="O11" i="1"/>
  <c r="S18" i="1"/>
  <c r="R19" i="1"/>
  <c r="R20" i="1"/>
  <c r="R21" i="1"/>
  <c r="R22" i="1"/>
  <c r="R18" i="1"/>
  <c r="Q19" i="1"/>
  <c r="Q20" i="1"/>
  <c r="P18" i="1"/>
  <c r="O19" i="1"/>
  <c r="O20" i="1"/>
  <c r="O21" i="1"/>
  <c r="O22" i="1"/>
  <c r="O18" i="1"/>
  <c r="N18" i="1"/>
  <c r="M19" i="1"/>
  <c r="M20" i="1"/>
  <c r="M21" i="1"/>
  <c r="Q21" i="1" s="1"/>
  <c r="M22" i="1"/>
  <c r="Q22" i="1" s="1"/>
  <c r="L19" i="1"/>
  <c r="S19" i="1" s="1"/>
  <c r="L20" i="1"/>
  <c r="S20" i="1" s="1"/>
  <c r="M18" i="1"/>
  <c r="Q18" i="1" s="1"/>
  <c r="L18" i="1"/>
  <c r="J16" i="1"/>
  <c r="K19" i="1"/>
  <c r="K20" i="1"/>
  <c r="K21" i="1"/>
  <c r="K22" i="1"/>
  <c r="J19" i="1"/>
  <c r="N19" i="1" s="1"/>
  <c r="J20" i="1"/>
  <c r="N20" i="1" s="1"/>
  <c r="J21" i="1"/>
  <c r="L21" i="1" s="1"/>
  <c r="J22" i="1"/>
  <c r="L22" i="1" s="1"/>
  <c r="K18" i="1"/>
  <c r="J18" i="1"/>
  <c r="I19" i="1"/>
  <c r="I20" i="1"/>
  <c r="I21" i="1"/>
  <c r="I22" i="1"/>
  <c r="I18" i="1"/>
  <c r="N6" i="1"/>
  <c r="E3" i="1"/>
  <c r="N12" i="1"/>
  <c r="K8" i="1"/>
  <c r="L8" i="1" s="1"/>
  <c r="K9" i="1"/>
  <c r="L9" i="1" s="1"/>
  <c r="K10" i="1"/>
  <c r="L10" i="1" s="1"/>
  <c r="K11" i="1"/>
  <c r="L11" i="1" s="1"/>
  <c r="K7" i="1"/>
  <c r="I1" i="1"/>
  <c r="J8" i="1"/>
  <c r="D3" i="1"/>
  <c r="N9" i="1" l="1"/>
  <c r="M9" i="1"/>
  <c r="M7" i="1"/>
  <c r="N7" i="1"/>
  <c r="N10" i="1"/>
  <c r="M10" i="1"/>
  <c r="N8" i="1"/>
  <c r="M8" i="1"/>
  <c r="N11" i="1"/>
  <c r="M11" i="1"/>
  <c r="S22" i="1"/>
  <c r="P22" i="1"/>
  <c r="S21" i="1"/>
  <c r="P21" i="1"/>
  <c r="N22" i="1"/>
  <c r="P20" i="1"/>
  <c r="N21" i="1"/>
  <c r="P19" i="1"/>
</calcChain>
</file>

<file path=xl/sharedStrings.xml><?xml version="1.0" encoding="utf-8"?>
<sst xmlns="http://schemas.openxmlformats.org/spreadsheetml/2006/main" count="30" uniqueCount="30">
  <si>
    <t>S_base (MVA)</t>
  </si>
  <si>
    <t>V_base_zone1 (kV)</t>
  </si>
  <si>
    <t>V_base_zone2 (kV)</t>
  </si>
  <si>
    <t>V_base_zone3 (kV)</t>
  </si>
  <si>
    <t>Lines (omh/km)</t>
  </si>
  <si>
    <t>y_shant(microS/km)</t>
  </si>
  <si>
    <t>Z_base (omh)</t>
  </si>
  <si>
    <t>from</t>
  </si>
  <si>
    <t>to</t>
  </si>
  <si>
    <t>lenght(km)</t>
  </si>
  <si>
    <t>ser_impedance(omh)</t>
  </si>
  <si>
    <t>ser_impedance(p.u.)</t>
  </si>
  <si>
    <t>r  (p.u)</t>
  </si>
  <si>
    <t>x (p.u)</t>
  </si>
  <si>
    <t>y_shant(S)</t>
  </si>
  <si>
    <t>y_shant(pu)</t>
  </si>
  <si>
    <t>B</t>
  </si>
  <si>
    <t>c</t>
  </si>
  <si>
    <t>Loads_Bus</t>
  </si>
  <si>
    <t>S(SI)</t>
  </si>
  <si>
    <t>P_High(MW)</t>
  </si>
  <si>
    <t>Q_High(MVAr)</t>
  </si>
  <si>
    <t>P_Low</t>
  </si>
  <si>
    <t>Q_Low</t>
  </si>
  <si>
    <t>P_high(pu)</t>
  </si>
  <si>
    <t>Q_high(pu)</t>
  </si>
  <si>
    <t>P_Low(pu)</t>
  </si>
  <si>
    <t>Q_Low(pu)</t>
  </si>
  <si>
    <t>S_high(pu)</t>
  </si>
  <si>
    <t>S_low(pu)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</si>
</sst>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A2DB-7C0C-4DC7-9EB6-537CECC5E3A8}">
  <dimension ref="A1:S22"/>
  <sheetViews>
    <sheetView tabSelected="1" topLeftCell="D1" workbookViewId="0">
      <selection activeCell="K7" sqref="K7"/>
    </sheetView>
  </sheetViews>
  <sheetFormatPr defaultRowHeight="15" x14ac:dyDescent="0.25"/>
  <cols>
    <col min="1" max="1" width="14.140625" customWidth="1"/>
    <col min="2" max="2" width="11.28515625" customWidth="1"/>
    <col min="3" max="3" width="17.140625" customWidth="1"/>
    <col min="4" max="4" width="15.85546875" customWidth="1"/>
    <col min="5" max="5" width="16.7109375" customWidth="1"/>
    <col min="8" max="8" width="17" bestFit="1" customWidth="1"/>
    <col min="10" max="10" width="10.7109375" bestFit="1" customWidth="1"/>
    <col min="11" max="11" width="19.140625" customWidth="1"/>
    <col min="12" max="12" width="30.85546875" customWidth="1"/>
    <col min="14" max="14" width="17.28515625" customWidth="1"/>
    <col min="15" max="15" width="9.7109375" customWidth="1"/>
    <col min="16" max="16" width="10.140625" bestFit="1" customWidth="1"/>
  </cols>
  <sheetData>
    <row r="1" spans="1:17" x14ac:dyDescent="0.25">
      <c r="A1" t="s">
        <v>0</v>
      </c>
      <c r="C1" t="s">
        <v>1</v>
      </c>
      <c r="D1" t="s">
        <v>2</v>
      </c>
      <c r="E1" t="s">
        <v>3</v>
      </c>
      <c r="H1" t="s">
        <v>4</v>
      </c>
      <c r="I1" t="str">
        <f>COMPLEX(0.08,0.5)</f>
        <v>0,08+0,5i</v>
      </c>
    </row>
    <row r="2" spans="1:17" x14ac:dyDescent="0.25">
      <c r="A2">
        <v>100</v>
      </c>
      <c r="C2">
        <v>13.8</v>
      </c>
      <c r="D2">
        <v>15</v>
      </c>
      <c r="E2">
        <v>230</v>
      </c>
      <c r="H2" t="s">
        <v>5</v>
      </c>
      <c r="I2">
        <v>3.3</v>
      </c>
    </row>
    <row r="3" spans="1:17" x14ac:dyDescent="0.25">
      <c r="B3" t="s">
        <v>6</v>
      </c>
      <c r="C3">
        <f>POWER(C2*1000,2)/($A$2*1000000)</f>
        <v>1.9044000000000001</v>
      </c>
      <c r="D3">
        <f>POWER(D2*1000,2)/($A$2*1000000)</f>
        <v>2.25</v>
      </c>
      <c r="E3">
        <f>POWER(E2*1000,2)/($A$2*1000000)</f>
        <v>529</v>
      </c>
    </row>
    <row r="5" spans="1:17" x14ac:dyDescent="0.25"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</row>
    <row r="6" spans="1:17" x14ac:dyDescent="0.25">
      <c r="H6">
        <v>1</v>
      </c>
      <c r="I6">
        <v>2</v>
      </c>
      <c r="N6">
        <f>0.1*(13.8/13.8)^2*(100/100)</f>
        <v>0.1</v>
      </c>
    </row>
    <row r="7" spans="1:17" x14ac:dyDescent="0.25">
      <c r="H7">
        <v>2</v>
      </c>
      <c r="I7">
        <v>3</v>
      </c>
      <c r="J7">
        <v>15</v>
      </c>
      <c r="K7" t="str">
        <f>IMPRODUCT($I$1,J7)</f>
        <v>1,2+7,5i</v>
      </c>
      <c r="L7" t="str">
        <f>IMDIV(K7,$E$3)</f>
        <v>0,00226843100189036+0,0141776937618147i</v>
      </c>
      <c r="M7">
        <f>IMREAL(L7)</f>
        <v>2.2684310018903598E-3</v>
      </c>
      <c r="N7">
        <f>IMAGINARY(L7)</f>
        <v>1.41776937618147E-2</v>
      </c>
      <c r="O7">
        <f>$I$2*0.000001*J7</f>
        <v>4.9499999999999997E-5</v>
      </c>
      <c r="P7">
        <f>O7*$E$3</f>
        <v>2.6185499999999997E-2</v>
      </c>
      <c r="Q7">
        <f>P7*2</f>
        <v>5.2370999999999994E-2</v>
      </c>
    </row>
    <row r="8" spans="1:17" x14ac:dyDescent="0.25">
      <c r="H8">
        <v>3</v>
      </c>
      <c r="I8">
        <v>4</v>
      </c>
      <c r="J8">
        <f>2*9+20</f>
        <v>38</v>
      </c>
      <c r="K8" t="str">
        <f>IMPRODUCT($I$1,J8)</f>
        <v>3,04+19i</v>
      </c>
      <c r="L8" t="str">
        <f>IMDIV(K8,$E$3)</f>
        <v>0,00574669187145558+0,0359168241965974i</v>
      </c>
      <c r="M8">
        <f>IMREAL(L8)</f>
        <v>5.7466918714555804E-3</v>
      </c>
      <c r="N8">
        <f>IMAGINARY(L8)</f>
        <v>3.5916824196597398E-2</v>
      </c>
      <c r="O8">
        <f>$I$2*0.000001*J8</f>
        <v>1.2539999999999999E-4</v>
      </c>
      <c r="P8">
        <f>O8*$E$3</f>
        <v>6.6336599999999996E-2</v>
      </c>
      <c r="Q8">
        <f>P8*2</f>
        <v>0.13267319999999999</v>
      </c>
    </row>
    <row r="9" spans="1:17" x14ac:dyDescent="0.25">
      <c r="H9">
        <v>4</v>
      </c>
      <c r="I9">
        <v>5</v>
      </c>
      <c r="J9">
        <v>40</v>
      </c>
      <c r="K9" t="str">
        <f>IMPRODUCT($I$1,J9)</f>
        <v>3,2+20i</v>
      </c>
      <c r="L9" t="str">
        <f>IMDIV(K9,$E$3)</f>
        <v>0,00604914933837429+0,0378071833648393i</v>
      </c>
      <c r="M9">
        <f>IMREAL(L9)</f>
        <v>6.0491493383742897E-3</v>
      </c>
      <c r="N9">
        <f>IMAGINARY(L9)</f>
        <v>3.7807183364839299E-2</v>
      </c>
      <c r="O9">
        <f>$I$2*0.000001*J9</f>
        <v>1.3199999999999998E-4</v>
      </c>
      <c r="P9">
        <f>O9*$E$3</f>
        <v>6.9827999999999987E-2</v>
      </c>
      <c r="Q9">
        <f>P9*2</f>
        <v>0.13965599999999997</v>
      </c>
    </row>
    <row r="10" spans="1:17" x14ac:dyDescent="0.25">
      <c r="H10">
        <v>4</v>
      </c>
      <c r="I10">
        <v>6</v>
      </c>
      <c r="J10">
        <v>15</v>
      </c>
      <c r="K10" t="str">
        <f>IMPRODUCT($I$1,J10)</f>
        <v>1,2+7,5i</v>
      </c>
      <c r="L10" t="str">
        <f>IMDIV(K10,$E$3)</f>
        <v>0,00226843100189036+0,0141776937618147i</v>
      </c>
      <c r="M10">
        <f>IMREAL(L10)</f>
        <v>2.2684310018903598E-3</v>
      </c>
      <c r="N10">
        <f>IMAGINARY(L10)</f>
        <v>1.41776937618147E-2</v>
      </c>
      <c r="O10">
        <f>$I$2*0.000001*J10</f>
        <v>4.9499999999999997E-5</v>
      </c>
      <c r="P10">
        <f>O10*$E$3</f>
        <v>2.6185499999999997E-2</v>
      </c>
      <c r="Q10">
        <f>P10*2</f>
        <v>5.2370999999999994E-2</v>
      </c>
    </row>
    <row r="11" spans="1:17" x14ac:dyDescent="0.25">
      <c r="H11">
        <v>5</v>
      </c>
      <c r="I11">
        <v>6</v>
      </c>
      <c r="J11">
        <v>50</v>
      </c>
      <c r="K11" t="str">
        <f>IMPRODUCT($I$1,J11)</f>
        <v>4+25i</v>
      </c>
      <c r="L11" t="str">
        <f>IMDIV(K11,$E$3)</f>
        <v>0,00756143667296786+0,0472589792060491i</v>
      </c>
      <c r="M11">
        <f>IMREAL(L11)</f>
        <v>7.5614366729678598E-3</v>
      </c>
      <c r="N11">
        <f>IMAGINARY(L11)</f>
        <v>4.7258979206049101E-2</v>
      </c>
      <c r="O11">
        <f>$I$2*0.000001*J11</f>
        <v>1.65E-4</v>
      </c>
      <c r="P11">
        <f>O11*$E$3</f>
        <v>8.7285000000000001E-2</v>
      </c>
      <c r="Q11">
        <f>P11*2</f>
        <v>0.17457</v>
      </c>
    </row>
    <row r="12" spans="1:17" x14ac:dyDescent="0.25">
      <c r="H12">
        <v>6</v>
      </c>
      <c r="I12">
        <v>7</v>
      </c>
      <c r="N12">
        <f>0.1*(15/15)^2*(100/200)</f>
        <v>0.05</v>
      </c>
    </row>
    <row r="16" spans="1:17" x14ac:dyDescent="0.25">
      <c r="I16" t="s">
        <v>17</v>
      </c>
      <c r="J16">
        <f>0.2+8*0.01</f>
        <v>0.28000000000000003</v>
      </c>
    </row>
    <row r="17" spans="8:19" x14ac:dyDescent="0.25"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  <c r="R17" t="s">
        <v>28</v>
      </c>
      <c r="S17" t="s">
        <v>29</v>
      </c>
    </row>
    <row r="18" spans="8:19" x14ac:dyDescent="0.25">
      <c r="H18">
        <v>2</v>
      </c>
      <c r="I18" t="str">
        <f>COMPLEX(50,30)</f>
        <v>50+30i</v>
      </c>
      <c r="J18">
        <f>IMREAL(I18)</f>
        <v>50</v>
      </c>
      <c r="K18">
        <f>IMAGINARY(I18)</f>
        <v>30</v>
      </c>
      <c r="L18">
        <f t="shared" ref="L18:M22" si="0">$J$16*J18</f>
        <v>14.000000000000002</v>
      </c>
      <c r="M18">
        <f t="shared" si="0"/>
        <v>8.4</v>
      </c>
      <c r="N18">
        <f t="shared" ref="N18:Q22" si="1">J18/$A$2</f>
        <v>0.5</v>
      </c>
      <c r="O18">
        <f t="shared" si="1"/>
        <v>0.3</v>
      </c>
      <c r="P18">
        <f t="shared" si="1"/>
        <v>0.14000000000000001</v>
      </c>
      <c r="Q18">
        <f t="shared" si="1"/>
        <v>8.4000000000000005E-2</v>
      </c>
      <c r="R18">
        <f>IMABS(I18)/$A$2</f>
        <v>0.58309518948452999</v>
      </c>
      <c r="S18">
        <f>IMABS(IMDIV(COMPLEX(L18,M18),$A$2))</f>
        <v>0.1632666530556684</v>
      </c>
    </row>
    <row r="19" spans="8:19" x14ac:dyDescent="0.25">
      <c r="H19">
        <v>3</v>
      </c>
      <c r="I19" t="str">
        <f>COMPLEX(50,30)</f>
        <v>50+30i</v>
      </c>
      <c r="J19">
        <f>IMREAL(I19)</f>
        <v>50</v>
      </c>
      <c r="K19">
        <f>IMAGINARY(I19)</f>
        <v>30</v>
      </c>
      <c r="L19">
        <f t="shared" si="0"/>
        <v>14.000000000000002</v>
      </c>
      <c r="M19">
        <f t="shared" si="0"/>
        <v>8.4</v>
      </c>
      <c r="N19">
        <f t="shared" si="1"/>
        <v>0.5</v>
      </c>
      <c r="O19">
        <f t="shared" si="1"/>
        <v>0.3</v>
      </c>
      <c r="P19">
        <f t="shared" si="1"/>
        <v>0.14000000000000001</v>
      </c>
      <c r="Q19">
        <f t="shared" si="1"/>
        <v>8.4000000000000005E-2</v>
      </c>
      <c r="R19">
        <f>IMABS(I19)/$A$2</f>
        <v>0.58309518948452999</v>
      </c>
      <c r="S19">
        <f>IMABS(IMDIV(COMPLEX(L19,M19),$A$2))</f>
        <v>0.1632666530556684</v>
      </c>
    </row>
    <row r="20" spans="8:19" x14ac:dyDescent="0.25">
      <c r="H20">
        <v>4</v>
      </c>
      <c r="I20" t="str">
        <f>COMPLEX(50,30)</f>
        <v>50+30i</v>
      </c>
      <c r="J20">
        <f>IMREAL(I20)</f>
        <v>50</v>
      </c>
      <c r="K20">
        <f>IMAGINARY(I20)</f>
        <v>30</v>
      </c>
      <c r="L20">
        <f t="shared" si="0"/>
        <v>14.000000000000002</v>
      </c>
      <c r="M20">
        <f t="shared" si="0"/>
        <v>8.4</v>
      </c>
      <c r="N20">
        <f t="shared" si="1"/>
        <v>0.5</v>
      </c>
      <c r="O20">
        <f t="shared" si="1"/>
        <v>0.3</v>
      </c>
      <c r="P20">
        <f t="shared" si="1"/>
        <v>0.14000000000000001</v>
      </c>
      <c r="Q20">
        <f t="shared" si="1"/>
        <v>8.4000000000000005E-2</v>
      </c>
      <c r="R20">
        <f>IMABS(I20)/$A$2</f>
        <v>0.58309518948452999</v>
      </c>
      <c r="S20">
        <f>IMABS(IMDIV(COMPLEX(L20,M20),$A$2))</f>
        <v>0.1632666530556684</v>
      </c>
    </row>
    <row r="21" spans="8:19" x14ac:dyDescent="0.25">
      <c r="H21">
        <v>5</v>
      </c>
      <c r="I21" t="str">
        <f>COMPLEX(50,30)</f>
        <v>50+30i</v>
      </c>
      <c r="J21">
        <f>IMREAL(I21)</f>
        <v>50</v>
      </c>
      <c r="K21">
        <f>IMAGINARY(I21)</f>
        <v>30</v>
      </c>
      <c r="L21">
        <f t="shared" si="0"/>
        <v>14.000000000000002</v>
      </c>
      <c r="M21">
        <f t="shared" si="0"/>
        <v>8.4</v>
      </c>
      <c r="N21">
        <f t="shared" si="1"/>
        <v>0.5</v>
      </c>
      <c r="O21">
        <f t="shared" si="1"/>
        <v>0.3</v>
      </c>
      <c r="P21">
        <f t="shared" si="1"/>
        <v>0.14000000000000001</v>
      </c>
      <c r="Q21">
        <f t="shared" si="1"/>
        <v>8.4000000000000005E-2</v>
      </c>
      <c r="R21">
        <f>IMABS(I21)/$A$2</f>
        <v>0.58309518948452999</v>
      </c>
      <c r="S21">
        <f>IMABS(IMDIV(COMPLEX(L21,M21),$A$2))</f>
        <v>0.1632666530556684</v>
      </c>
    </row>
    <row r="22" spans="8:19" x14ac:dyDescent="0.25">
      <c r="H22">
        <v>6</v>
      </c>
      <c r="I22" t="str">
        <f>COMPLEX(50,30)</f>
        <v>50+30i</v>
      </c>
      <c r="J22">
        <f>IMREAL(I22)</f>
        <v>50</v>
      </c>
      <c r="K22">
        <f>IMAGINARY(I22)</f>
        <v>30</v>
      </c>
      <c r="L22">
        <f t="shared" si="0"/>
        <v>14.000000000000002</v>
      </c>
      <c r="M22">
        <f t="shared" si="0"/>
        <v>8.4</v>
      </c>
      <c r="N22">
        <f t="shared" si="1"/>
        <v>0.5</v>
      </c>
      <c r="O22">
        <f t="shared" si="1"/>
        <v>0.3</v>
      </c>
      <c r="P22">
        <f t="shared" si="1"/>
        <v>0.14000000000000001</v>
      </c>
      <c r="Q22">
        <f t="shared" si="1"/>
        <v>8.4000000000000005E-2</v>
      </c>
      <c r="R22">
        <f>IMABS(I22)/$A$2</f>
        <v>0.58309518948452999</v>
      </c>
      <c r="S22">
        <f>IMABS(IMDIV(COMPLEX(L22,M22),$A$2))</f>
        <v>0.1632666530556684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65F4BEF100074582E9F813CD689C54" ma:contentTypeVersion="3" ma:contentTypeDescription="Opret et nyt dokument." ma:contentTypeScope="" ma:versionID="0827442ae9cf12bcfbc5dd60670a2bd7">
  <xsd:schema xmlns:xsd="http://www.w3.org/2001/XMLSchema" xmlns:xs="http://www.w3.org/2001/XMLSchema" xmlns:p="http://schemas.microsoft.com/office/2006/metadata/properties" xmlns:ns2="2b71e9e4-c68b-4146-8f09-a0e89ca1298a" targetNamespace="http://schemas.microsoft.com/office/2006/metadata/properties" ma:root="true" ma:fieldsID="ce770967e9536c5239903551fe01ef91" ns2:_="">
    <xsd:import namespace="2b71e9e4-c68b-4146-8f09-a0e89ca129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1e9e4-c68b-4146-8f09-a0e89ca12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BC9E66-88FD-4442-9FCA-1ACF4A36DA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F9B8E9-B4B8-43C5-9789-E65419656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A39C98-0BAA-48AA-8612-CF97DCE51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71e9e4-c68b-4146-8f09-a0e89ca129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Fonseca</dc:creator>
  <cp:keywords/>
  <dc:description/>
  <cp:lastModifiedBy>Mathieu Lafitte</cp:lastModifiedBy>
  <cp:revision/>
  <dcterms:created xsi:type="dcterms:W3CDTF">2026-02-17T09:38:21Z</dcterms:created>
  <dcterms:modified xsi:type="dcterms:W3CDTF">2026-02-23T15:56:23Z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0x0101004F65F4BEF100074582E9F813CD689C54</vt:lpwstr>
  </property>
</Properties>
</file>